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di Soltani\Desktop\بازرگانی داخلی\05\"/>
    </mc:Choice>
  </mc:AlternateContent>
  <xr:revisionPtr revIDLastSave="0" documentId="13_ncr:1_{99308A11-69FA-4DA9-BB45-D9A064CEE41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فرم خام" sheetId="11" r:id="rId1"/>
    <sheet name="فرم خام (2)" sheetId="12" r:id="rId2"/>
  </sheets>
  <definedNames>
    <definedName name="_xlnm.Print_Area" localSheetId="0">'فرم خام'!$A$1:$O$36</definedName>
    <definedName name="_xlnm.Print_Area" localSheetId="1">'فرم خام (2)'!$A$1:$O$36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2" l="1"/>
  <c r="I25" i="12" s="1"/>
  <c r="N29" i="12"/>
  <c r="L25" i="12"/>
  <c r="K25" i="12"/>
  <c r="F25" i="12"/>
  <c r="M6" i="12"/>
  <c r="M6" i="11"/>
  <c r="K25" i="11"/>
  <c r="F25" i="11"/>
  <c r="I24" i="11"/>
  <c r="N24" i="11" s="1"/>
  <c r="N24" i="12" l="1"/>
  <c r="N25" i="12" s="1"/>
  <c r="N33" i="12" s="1"/>
  <c r="L25" i="11"/>
  <c r="N29" i="11"/>
  <c r="N25" i="11"/>
  <c r="N33" i="11" s="1"/>
  <c r="I25" i="11"/>
</calcChain>
</file>

<file path=xl/sharedStrings.xml><?xml version="1.0" encoding="utf-8"?>
<sst xmlns="http://schemas.openxmlformats.org/spreadsheetml/2006/main" count="128" uniqueCount="76">
  <si>
    <t>شناسه ملی</t>
  </si>
  <si>
    <t>شماره اقتصادی</t>
  </si>
  <si>
    <t>تلفن</t>
  </si>
  <si>
    <t>فکس</t>
  </si>
  <si>
    <t>مشخصات کالا</t>
  </si>
  <si>
    <t>شرح کالا</t>
  </si>
  <si>
    <t>تعداد/مقدار</t>
  </si>
  <si>
    <t>فی</t>
  </si>
  <si>
    <t>تخفیف</t>
  </si>
  <si>
    <t>مالیات بر ارزش افزوده</t>
  </si>
  <si>
    <t>جمع کل(ریال)</t>
  </si>
  <si>
    <t>جمع کل</t>
  </si>
  <si>
    <t>خریدار</t>
  </si>
  <si>
    <t>مهر و امضا</t>
  </si>
  <si>
    <t>فروشنده</t>
  </si>
  <si>
    <t xml:space="preserve"> نام فروشنده</t>
  </si>
  <si>
    <t xml:space="preserve"> کد پستی</t>
  </si>
  <si>
    <t xml:space="preserve"> نشانی</t>
  </si>
  <si>
    <t xml:space="preserve"> آدرس کارخانه</t>
  </si>
  <si>
    <t xml:space="preserve"> نام خریدار</t>
  </si>
  <si>
    <t xml:space="preserve"> ردیف </t>
  </si>
  <si>
    <t>تاریخ :</t>
  </si>
  <si>
    <t>شناسه ملی/کد ملی</t>
  </si>
  <si>
    <t xml:space="preserve">پیش فاکتور فروش </t>
  </si>
  <si>
    <t>آدرس:</t>
  </si>
  <si>
    <t>مبلغ قابل پرداخت :</t>
  </si>
  <si>
    <t xml:space="preserve">  توضیحات:</t>
  </si>
  <si>
    <t>مشخصات فروشنده:</t>
  </si>
  <si>
    <t>مشخصات خریدار:</t>
  </si>
  <si>
    <t>ارزش افزوده</t>
  </si>
  <si>
    <t>هزینه حمل باربری</t>
  </si>
  <si>
    <t>کمیسیون</t>
  </si>
  <si>
    <t>واحد  کالا</t>
  </si>
  <si>
    <t>سایر</t>
  </si>
  <si>
    <t>مبلغ</t>
  </si>
  <si>
    <t xml:space="preserve">شماره اقتصادی/ شماره ثبت </t>
  </si>
  <si>
    <t>تلفن/ فکس</t>
  </si>
  <si>
    <t>شماره:</t>
  </si>
  <si>
    <t>کیلوگرم</t>
  </si>
  <si>
    <t>کد نقش</t>
  </si>
  <si>
    <t xml:space="preserve"> </t>
  </si>
  <si>
    <t xml:space="preserve"> حساب بانک صادرات                                                 </t>
  </si>
  <si>
    <t xml:space="preserve">شماره شبا:  </t>
  </si>
  <si>
    <t xml:space="preserve">شماره شبا: </t>
  </si>
  <si>
    <t>***</t>
  </si>
  <si>
    <t>شرکت شمس تجارت خوشنام</t>
  </si>
  <si>
    <t>021-88627402</t>
  </si>
  <si>
    <t>6-قبض باسکول کارخانه مبدأ ملاک تسویه حساب بین فروشنده و خریدار خواهد بود.
7- مقدار کالای ارسال شده مشمول 10 درصد (+/-) نوسان می‌باشد.
8- حمل به دفعات مجاز است و کرایۀ حمل به عهده خریدار است.
9- انجام هرگونه واریز برای پیش فاکتور صادره به منزله تأیید تمام مفاد پیش فاکتور می‌باشد.</t>
  </si>
  <si>
    <t>شماره حساب بنام شرکت شمس تجارت خوشنام جهت واریز وجه</t>
  </si>
  <si>
    <t>صندوق حمایت از توسعه بخش کشاورزی استان آذربایجان غربی</t>
  </si>
  <si>
    <t xml:space="preserve"> ارومیه، خیابان عمار پلاک ۱۱۷</t>
  </si>
  <si>
    <t>1- مدت اعتبار پیش فاکتور 24 ساعت از تاریخ صدور می‌باشد.
2- شرایط پرداخت به صورت نقد بوده و واریزی پس از تاریخ اعتبار پیش فاکتور معتبر نمی باشد.
3- زمان تحویل 60 روز از تاریخ تسویه حساب
4- محل تحویل کالا،  در مبدأ معرفی شده می‌باشد و فروشنده نسبت به بروز هرگونه خسارت احتمالی بعد از خروج بار از  مبدأ مسئولیتی نخواهد داشت.
5- راننده معرفی شده به  مبدأ، نماینده شرکت خریدار محسوب گردیده و خروج از کارخانه به منزلۀ تحویل کالا به خریدار می‌باشد.</t>
  </si>
  <si>
    <t xml:space="preserve"> IR420180000000000954938727 </t>
  </si>
  <si>
    <t xml:space="preserve"> حساب بانک تجارت :       954938727</t>
  </si>
  <si>
    <t>ذرت دامی</t>
  </si>
  <si>
    <t xml:space="preserve">پنجاه و چهار میلیارد ریال </t>
  </si>
  <si>
    <t>021-88616283</t>
  </si>
  <si>
    <t>تهران  -یوسف آباد - خیابان اسدآبادی - بالاتر از خیابان چهل و نهم - پلاک 449 - طبقه 2 - واحد 202</t>
  </si>
  <si>
    <t>-</t>
  </si>
  <si>
    <t>1403/02/02</t>
  </si>
  <si>
    <t>فی (ریال)</t>
  </si>
  <si>
    <t>مبلغ (ریال)</t>
  </si>
  <si>
    <t>شماره حساب به نام شرکت شمس تجارت خوشنام جهت واریز وجه</t>
  </si>
  <si>
    <t xml:space="preserve">  -</t>
  </si>
  <si>
    <t>تهران - یوسف آباد - خیابان سید جمال‌الدین اسدآبادی - بالاتر از خیابان چهل و نهم - پلاک 449 - طبقه 2 - واحد 202</t>
  </si>
  <si>
    <t xml:space="preserve"> حساب بانک پارسیان:           606-01808044-470</t>
  </si>
  <si>
    <t>IR690540100247001808044606</t>
  </si>
  <si>
    <t>40405-13</t>
  </si>
  <si>
    <t>1404/05/07</t>
  </si>
  <si>
    <t>کشت و صنعت آرین طعم خزر</t>
  </si>
  <si>
    <t>02191002850</t>
  </si>
  <si>
    <t>تهران خیابان شریعتی نبش شهید کلاهدوز پلاک ۱۶۰۹ ساختمان نگین قلهک طبقه هفتم واحد ۷۵</t>
  </si>
  <si>
    <t>ذرت دامی روس</t>
  </si>
  <si>
    <t>سیصد و سه میلیارد و صد و هشتاد و هفت میلیون و پانصد هزار ریال</t>
  </si>
  <si>
    <t>1- مدت اعتبار پیش فاکتور تا پایان ساعت کاری تاریخ 1404/05/17 می‌باشد.
2- شرایط پرداخت به صورت نقدی بوده و خریدار ملزم به پرداخت مبلغ پیش فاکتور پیش از حمل کالا خواهد بود.
3- محل تحویل کالا، گمرک منطقه آزاد انزلی (کاسپین) می‌باشد و فروشنده نسبت به بروز هرگونه خسارت احتمالی بعد از خروج بار از مبدأ مسئولیتی نخواهد داشت.
4- قبض باسکول مبدا ملاک تسویه حساب بین فروشنده و خریدار خواهد بود.</t>
  </si>
  <si>
    <t>5- مقدار کالای ارسال شده مشمول 5 درصد (+/-) نوسان می‌باشد.
6- حمل به دفعات مجاز است و کرایۀ حمل به عهده خریدار است.
7- خریدار ملزم به ثبت کالای فروخته شده در سامانه بازارگاه وزارت جهاد کشاورزی در پس از دریافت اطلاعات حمل در اسرع وقت می‌باشد.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</si>
</sst>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0" x14ac:knownFonts="1">
    <font>
      <sz val="11"/>
      <color theme="1"/>
      <name val="Arial"/>
      <family val="2"/>
      <charset val="178"/>
      <scheme val="minor"/>
    </font>
    <font>
      <b/>
      <sz val="20"/>
      <color theme="1"/>
      <name val="B Nazanin"/>
      <charset val="178"/>
    </font>
    <font>
      <b/>
      <sz val="12"/>
      <color theme="1"/>
      <name val="B Nazanin"/>
      <charset val="178"/>
    </font>
    <font>
      <sz val="14"/>
      <color theme="1"/>
      <name val="B Nazanin"/>
      <charset val="178"/>
    </font>
    <font>
      <b/>
      <sz val="14"/>
      <color theme="1"/>
      <name val="B Nazanin"/>
      <charset val="178"/>
    </font>
    <font>
      <b/>
      <sz val="16"/>
      <color theme="1"/>
      <name val="B Nazanin"/>
      <charset val="178"/>
    </font>
    <font>
      <b/>
      <sz val="24"/>
      <color theme="1"/>
      <name val="B Nazanin"/>
      <charset val="178"/>
    </font>
    <font>
      <b/>
      <sz val="11"/>
      <color theme="1"/>
      <name val="B Nazanin"/>
      <charset val="178"/>
    </font>
    <font>
      <b/>
      <sz val="10"/>
      <color theme="1"/>
      <name val="B Nazanin"/>
      <charset val="178"/>
    </font>
    <font>
      <sz val="11.5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15" xfId="0" applyFont="1" applyBorder="1"/>
    <xf numFmtId="0" fontId="3" fillId="0" borderId="0" xfId="0" applyFont="1"/>
    <xf numFmtId="0" fontId="4" fillId="0" borderId="14" xfId="0" applyFont="1" applyBorder="1"/>
    <xf numFmtId="0" fontId="4" fillId="0" borderId="15" xfId="0" applyFont="1" applyBorder="1"/>
    <xf numFmtId="0" fontId="4" fillId="0" borderId="15" xfId="0" applyFont="1" applyBorder="1" applyAlignment="1">
      <alignment horizontal="left" vertical="center"/>
    </xf>
    <xf numFmtId="0" fontId="4" fillId="0" borderId="17" xfId="0" applyFont="1" applyBorder="1"/>
    <xf numFmtId="0" fontId="4" fillId="0" borderId="0" xfId="0" applyFont="1"/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0" fontId="4" fillId="0" borderId="3" xfId="0" applyFont="1" applyBorder="1"/>
    <xf numFmtId="0" fontId="3" fillId="0" borderId="3" xfId="0" applyFont="1" applyBorder="1"/>
    <xf numFmtId="0" fontId="3" fillId="0" borderId="0" xfId="0" applyFont="1" applyAlignment="1">
      <alignment horizontal="center"/>
    </xf>
    <xf numFmtId="0" fontId="3" fillId="0" borderId="13" xfId="0" applyFont="1" applyBorder="1"/>
    <xf numFmtId="0" fontId="3" fillId="0" borderId="17" xfId="0" applyFont="1" applyBorder="1"/>
    <xf numFmtId="0" fontId="3" fillId="0" borderId="1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/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/>
    <xf numFmtId="0" fontId="3" fillId="0" borderId="0" xfId="0" applyFont="1" applyAlignment="1">
      <alignment horizontal="right" vertical="center" indent="2"/>
    </xf>
    <xf numFmtId="0" fontId="6" fillId="0" borderId="0" xfId="0" applyFont="1" applyAlignment="1">
      <alignment horizontal="right" vertical="center" indent="26"/>
    </xf>
    <xf numFmtId="0" fontId="4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7" xfId="0" applyFont="1" applyBorder="1" applyAlignment="1">
      <alignment horizontal="right" vertical="center"/>
    </xf>
    <xf numFmtId="3" fontId="3" fillId="0" borderId="0" xfId="0" applyNumberFormat="1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4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3" fillId="0" borderId="33" xfId="0" applyNumberFormat="1" applyFont="1" applyBorder="1" applyAlignment="1">
      <alignment horizontal="center"/>
    </xf>
    <xf numFmtId="3" fontId="3" fillId="0" borderId="35" xfId="0" applyNumberFormat="1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3" fontId="3" fillId="0" borderId="36" xfId="0" applyNumberFormat="1" applyFont="1" applyBorder="1" applyAlignment="1">
      <alignment horizontal="center"/>
    </xf>
    <xf numFmtId="3" fontId="3" fillId="0" borderId="3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24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3" fillId="0" borderId="25" xfId="0" applyNumberFormat="1" applyFont="1" applyBorder="1" applyAlignment="1">
      <alignment horizontal="center"/>
    </xf>
    <xf numFmtId="0" fontId="9" fillId="0" borderId="8" xfId="0" applyFont="1" applyBorder="1" applyAlignment="1">
      <alignment horizontal="right" vertical="center" wrapText="1" readingOrder="2"/>
    </xf>
    <xf numFmtId="0" fontId="9" fillId="0" borderId="5" xfId="0" applyFont="1" applyBorder="1" applyAlignment="1">
      <alignment horizontal="right" vertical="center" wrapText="1" readingOrder="2"/>
    </xf>
    <xf numFmtId="0" fontId="9" fillId="0" borderId="7" xfId="0" applyFont="1" applyBorder="1" applyAlignment="1">
      <alignment horizontal="right" vertical="center" wrapText="1" readingOrder="2"/>
    </xf>
    <xf numFmtId="0" fontId="9" fillId="0" borderId="0" xfId="0" applyFont="1" applyAlignment="1">
      <alignment horizontal="right" vertical="center" wrapText="1" readingOrder="2"/>
    </xf>
    <xf numFmtId="0" fontId="9" fillId="0" borderId="11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  <xf numFmtId="0" fontId="8" fillId="0" borderId="5" xfId="0" applyFont="1" applyBorder="1" applyAlignment="1">
      <alignment horizontal="right" vertical="top" wrapText="1" readingOrder="2"/>
    </xf>
    <xf numFmtId="0" fontId="8" fillId="0" borderId="9" xfId="0" applyFont="1" applyBorder="1" applyAlignment="1">
      <alignment horizontal="right" vertical="top" wrapText="1" readingOrder="2"/>
    </xf>
    <xf numFmtId="0" fontId="8" fillId="0" borderId="0" xfId="0" applyFont="1" applyAlignment="1">
      <alignment horizontal="right" vertical="top" wrapText="1" readingOrder="2"/>
    </xf>
    <xf numFmtId="0" fontId="8" fillId="0" borderId="10" xfId="0" applyFont="1" applyBorder="1" applyAlignment="1">
      <alignment horizontal="right" vertical="top" wrapText="1" readingOrder="2"/>
    </xf>
    <xf numFmtId="0" fontId="8" fillId="0" borderId="6" xfId="0" applyFont="1" applyBorder="1" applyAlignment="1">
      <alignment horizontal="right" vertical="top" wrapText="1" readingOrder="2"/>
    </xf>
    <xf numFmtId="0" fontId="8" fillId="0" borderId="12" xfId="0" applyFont="1" applyBorder="1" applyAlignment="1">
      <alignment horizontal="right" vertical="top" wrapText="1" readingOrder="2"/>
    </xf>
    <xf numFmtId="0" fontId="4" fillId="0" borderId="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33" xfId="0" applyFont="1" applyBorder="1" applyAlignment="1">
      <alignment horizontal="center" vertical="top"/>
    </xf>
    <xf numFmtId="0" fontId="3" fillId="0" borderId="34" xfId="0" applyFont="1" applyBorder="1" applyAlignment="1">
      <alignment horizontal="center" vertical="top"/>
    </xf>
    <xf numFmtId="3" fontId="3" fillId="0" borderId="2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3" fontId="3" fillId="0" borderId="32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3" fontId="3" fillId="0" borderId="20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 indent="2"/>
    </xf>
    <xf numFmtId="0" fontId="3" fillId="0" borderId="10" xfId="0" applyFont="1" applyBorder="1" applyAlignment="1">
      <alignment horizontal="right" vertical="center" indent="2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20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 indent="1"/>
    </xf>
    <xf numFmtId="0" fontId="4" fillId="0" borderId="16" xfId="0" applyFont="1" applyBorder="1" applyAlignment="1">
      <alignment horizontal="right" vertical="center" indent="1"/>
    </xf>
    <xf numFmtId="0" fontId="4" fillId="0" borderId="0" xfId="0" applyFont="1" applyAlignment="1">
      <alignment horizontal="right" vertical="top"/>
    </xf>
    <xf numFmtId="0" fontId="4" fillId="0" borderId="18" xfId="0" applyFont="1" applyBorder="1" applyAlignment="1">
      <alignment horizontal="right" vertical="top"/>
    </xf>
    <xf numFmtId="0" fontId="3" fillId="0" borderId="8" xfId="0" applyFont="1" applyBorder="1" applyAlignment="1">
      <alignment horizontal="right" vertical="center" indent="2"/>
    </xf>
    <xf numFmtId="0" fontId="3" fillId="0" borderId="9" xfId="0" applyFont="1" applyBorder="1" applyAlignment="1">
      <alignment horizontal="right" vertical="center" indent="2"/>
    </xf>
    <xf numFmtId="49" fontId="4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readingOrder="2"/>
    </xf>
    <xf numFmtId="0" fontId="4" fillId="0" borderId="3" xfId="0" applyFont="1" applyBorder="1" applyAlignment="1">
      <alignment horizontal="right" vertical="center" readingOrder="2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9" fillId="0" borderId="9" xfId="0" applyFont="1" applyBorder="1" applyAlignment="1">
      <alignment horizontal="right" vertical="center" wrapText="1" readingOrder="2"/>
    </xf>
    <xf numFmtId="0" fontId="9" fillId="0" borderId="10" xfId="0" applyFont="1" applyBorder="1" applyAlignment="1">
      <alignment horizontal="right" vertical="center" wrapText="1" readingOrder="2"/>
    </xf>
    <xf numFmtId="0" fontId="9" fillId="0" borderId="12" xfId="0" applyFont="1" applyBorder="1" applyAlignment="1">
      <alignment horizontal="right" vertical="center" wrapText="1" readingOrder="2"/>
    </xf>
    <xf numFmtId="0" fontId="4" fillId="0" borderId="26" xfId="0" applyFont="1" applyBorder="1" applyAlignment="1">
      <alignment horizontal="left"/>
    </xf>
    <xf numFmtId="3" fontId="4" fillId="0" borderId="4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59122</xdr:colOff>
      <xdr:row>1</xdr:row>
      <xdr:rowOff>10949</xdr:rowOff>
    </xdr:from>
    <xdr:to>
      <xdr:col>2</xdr:col>
      <xdr:colOff>459828</xdr:colOff>
      <xdr:row>3</xdr:row>
      <xdr:rowOff>29343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23F10C-FCF4-8DD4-73FD-C16F2169A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4574844" y="122621"/>
          <a:ext cx="952499" cy="662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"/>
  <sheetViews>
    <sheetView rightToLeft="1" zoomScale="90" zoomScaleNormal="90" workbookViewId="0">
      <selection activeCell="N4" sqref="N4"/>
    </sheetView>
  </sheetViews>
  <sheetFormatPr defaultColWidth="9" defaultRowHeight="22.5" x14ac:dyDescent="0.55000000000000004"/>
  <cols>
    <col min="1" max="1" width="5.625" style="2" customWidth="1"/>
    <col min="2" max="2" width="7.25" style="2" customWidth="1"/>
    <col min="3" max="3" width="7" style="2" customWidth="1"/>
    <col min="4" max="4" width="12.125" style="2" customWidth="1"/>
    <col min="5" max="5" width="17.625" style="2" customWidth="1"/>
    <col min="6" max="6" width="5.75" style="2" customWidth="1"/>
    <col min="7" max="7" width="10.125" style="2" customWidth="1"/>
    <col min="8" max="8" width="15.875" style="2" customWidth="1"/>
    <col min="9" max="9" width="4.875" style="2" customWidth="1"/>
    <col min="10" max="10" width="15.25" style="2" customWidth="1"/>
    <col min="11" max="11" width="28.125" style="2" customWidth="1"/>
    <col min="12" max="12" width="5.375" style="2" customWidth="1"/>
    <col min="13" max="13" width="11.375" style="2" customWidth="1"/>
    <col min="14" max="14" width="7.875" style="2" customWidth="1"/>
    <col min="15" max="15" width="12.375" style="36" customWidth="1"/>
    <col min="16" max="16" width="8.25" style="2" customWidth="1"/>
    <col min="17" max="19" width="9" style="2"/>
    <col min="20" max="20" width="15.875" style="2" bestFit="1" customWidth="1"/>
    <col min="21" max="16384" width="9" style="2"/>
  </cols>
  <sheetData>
    <row r="1" spans="1:15" ht="9" customHeight="1" thickBot="1" x14ac:dyDescent="0.6">
      <c r="O1" s="2"/>
    </row>
    <row r="2" spans="1:15" ht="21" customHeight="1" x14ac:dyDescent="0.85">
      <c r="A2" s="3"/>
      <c r="B2" s="4"/>
      <c r="C2" s="4"/>
      <c r="D2" s="1"/>
      <c r="E2" s="1"/>
      <c r="F2" s="1"/>
      <c r="G2" s="1"/>
      <c r="H2" s="1"/>
      <c r="I2" s="1"/>
      <c r="J2" s="1"/>
      <c r="K2" s="1"/>
      <c r="L2" s="1"/>
      <c r="M2" s="5" t="s">
        <v>37</v>
      </c>
      <c r="N2" s="144">
        <v>16</v>
      </c>
      <c r="O2" s="145"/>
    </row>
    <row r="3" spans="1:15" ht="29.25" customHeight="1" x14ac:dyDescent="0.6">
      <c r="A3" s="6"/>
      <c r="B3" s="7"/>
      <c r="C3" s="7"/>
      <c r="D3" s="45" t="s">
        <v>23</v>
      </c>
      <c r="E3" s="45"/>
      <c r="F3" s="45"/>
      <c r="G3" s="45"/>
      <c r="H3" s="45"/>
      <c r="I3" s="45"/>
      <c r="J3" s="45"/>
      <c r="K3" s="45"/>
      <c r="L3" s="45"/>
      <c r="M3" s="46" t="s">
        <v>21</v>
      </c>
      <c r="N3" s="146" t="s">
        <v>59</v>
      </c>
      <c r="O3" s="147"/>
    </row>
    <row r="4" spans="1:15" ht="3.75" customHeight="1" x14ac:dyDescent="0.6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</row>
    <row r="5" spans="1:15" ht="21.95" customHeight="1" x14ac:dyDescent="0.55000000000000004">
      <c r="A5" s="118" t="s">
        <v>27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20"/>
    </row>
    <row r="6" spans="1:15" s="11" customFormat="1" ht="21.95" customHeight="1" x14ac:dyDescent="0.2">
      <c r="A6" s="135" t="s">
        <v>15</v>
      </c>
      <c r="B6" s="136"/>
      <c r="C6" s="121" t="s">
        <v>45</v>
      </c>
      <c r="D6" s="99"/>
      <c r="E6" s="99"/>
      <c r="F6" s="100"/>
      <c r="G6" s="148" t="s">
        <v>0</v>
      </c>
      <c r="H6" s="149"/>
      <c r="I6" s="121">
        <v>14011853663</v>
      </c>
      <c r="J6" s="100"/>
      <c r="K6" s="148" t="s">
        <v>1</v>
      </c>
      <c r="L6" s="149"/>
      <c r="M6" s="127">
        <f>I6</f>
        <v>14011853663</v>
      </c>
      <c r="N6" s="128"/>
      <c r="O6" s="129"/>
    </row>
    <row r="7" spans="1:15" s="11" customFormat="1" ht="2.25" customHeight="1" x14ac:dyDescent="0.2">
      <c r="A7" s="50"/>
      <c r="B7" s="12"/>
      <c r="C7" s="13"/>
      <c r="D7" s="13"/>
      <c r="E7" s="13"/>
      <c r="F7" s="13"/>
      <c r="G7" s="44"/>
      <c r="H7" s="44"/>
      <c r="I7" s="13"/>
      <c r="J7" s="13"/>
      <c r="K7" s="44"/>
      <c r="L7" s="44"/>
      <c r="M7" s="13"/>
      <c r="N7" s="13"/>
      <c r="O7" s="14"/>
    </row>
    <row r="8" spans="1:15" s="11" customFormat="1" ht="21.95" customHeight="1" x14ac:dyDescent="0.2">
      <c r="A8" s="130" t="s">
        <v>16</v>
      </c>
      <c r="B8" s="131"/>
      <c r="C8" s="103"/>
      <c r="D8" s="104"/>
      <c r="E8" s="104"/>
      <c r="F8" s="105"/>
      <c r="G8" s="132" t="s">
        <v>2</v>
      </c>
      <c r="H8" s="133"/>
      <c r="I8" s="121" t="s">
        <v>46</v>
      </c>
      <c r="J8" s="100"/>
      <c r="K8" s="132" t="s">
        <v>3</v>
      </c>
      <c r="L8" s="133"/>
      <c r="M8" s="127" t="s">
        <v>56</v>
      </c>
      <c r="N8" s="128"/>
      <c r="O8" s="129"/>
    </row>
    <row r="9" spans="1:15" s="11" customFormat="1" ht="3.75" customHeight="1" x14ac:dyDescent="0.2">
      <c r="A9" s="50"/>
      <c r="B9" s="12"/>
      <c r="C9" s="11" t="s">
        <v>40</v>
      </c>
      <c r="O9" s="15"/>
    </row>
    <row r="10" spans="1:15" s="11" customFormat="1" ht="21.95" customHeight="1" x14ac:dyDescent="0.2">
      <c r="A10" s="130" t="s">
        <v>17</v>
      </c>
      <c r="B10" s="131"/>
      <c r="C10" s="141" t="s">
        <v>57</v>
      </c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3"/>
    </row>
    <row r="11" spans="1:15" s="11" customFormat="1" ht="2.25" customHeight="1" x14ac:dyDescent="0.2">
      <c r="A11" s="50"/>
      <c r="B11" s="12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1:15" s="11" customFormat="1" ht="21.95" customHeight="1" x14ac:dyDescent="0.2">
      <c r="A12" s="130" t="s">
        <v>18</v>
      </c>
      <c r="B12" s="131"/>
      <c r="C12" s="141" t="s">
        <v>44</v>
      </c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3"/>
    </row>
    <row r="13" spans="1:15" s="11" customFormat="1" ht="3" customHeight="1" x14ac:dyDescent="0.2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</row>
    <row r="14" spans="1:15" s="11" customFormat="1" ht="21.95" customHeight="1" x14ac:dyDescent="0.2">
      <c r="A14" s="118" t="s">
        <v>28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20"/>
    </row>
    <row r="15" spans="1:15" s="11" customFormat="1" ht="3.75" customHeight="1" x14ac:dyDescent="0.2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</row>
    <row r="16" spans="1:15" s="11" customFormat="1" ht="27.75" customHeight="1" x14ac:dyDescent="0.2">
      <c r="A16" s="135" t="s">
        <v>19</v>
      </c>
      <c r="B16" s="136"/>
      <c r="C16" s="137" t="s">
        <v>49</v>
      </c>
      <c r="D16" s="138"/>
      <c r="E16" s="138"/>
      <c r="F16" s="139"/>
      <c r="G16" s="132" t="s">
        <v>22</v>
      </c>
      <c r="H16" s="133"/>
      <c r="I16" s="140">
        <v>10220146527</v>
      </c>
      <c r="J16" s="100"/>
      <c r="K16" s="132" t="s">
        <v>35</v>
      </c>
      <c r="L16" s="133"/>
      <c r="M16" s="127">
        <v>9750</v>
      </c>
      <c r="N16" s="128"/>
      <c r="O16" s="129"/>
    </row>
    <row r="17" spans="1:23" s="11" customFormat="1" ht="3" customHeight="1" x14ac:dyDescent="0.2">
      <c r="A17" s="50"/>
      <c r="B17" s="12"/>
      <c r="G17" s="44"/>
      <c r="H17" s="44"/>
      <c r="K17" s="44"/>
      <c r="L17" s="44"/>
      <c r="O17" s="15"/>
    </row>
    <row r="18" spans="1:23" s="11" customFormat="1" ht="21.95" customHeight="1" x14ac:dyDescent="0.2">
      <c r="A18" s="130" t="s">
        <v>16</v>
      </c>
      <c r="B18" s="131"/>
      <c r="C18" s="121">
        <v>5715765557</v>
      </c>
      <c r="D18" s="99"/>
      <c r="E18" s="99"/>
      <c r="F18" s="100"/>
      <c r="G18" s="132" t="s">
        <v>36</v>
      </c>
      <c r="H18" s="133"/>
      <c r="I18" s="121"/>
      <c r="J18" s="100"/>
      <c r="K18" s="132" t="s">
        <v>39</v>
      </c>
      <c r="L18" s="133"/>
      <c r="M18" s="103" t="s">
        <v>58</v>
      </c>
      <c r="N18" s="104"/>
      <c r="O18" s="134"/>
    </row>
    <row r="19" spans="1:23" s="11" customFormat="1" ht="3" customHeight="1" x14ac:dyDescent="0.2">
      <c r="A19" s="50"/>
      <c r="B19" s="12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4"/>
    </row>
    <row r="20" spans="1:23" s="11" customFormat="1" ht="21.95" customHeight="1" x14ac:dyDescent="0.2">
      <c r="A20" s="113" t="s">
        <v>24</v>
      </c>
      <c r="B20" s="114"/>
      <c r="C20" s="115" t="s">
        <v>50</v>
      </c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7"/>
    </row>
    <row r="21" spans="1:23" s="11" customFormat="1" ht="3.75" customHeight="1" x14ac:dyDescent="0.2">
      <c r="A21" s="2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1:23" s="11" customFormat="1" ht="21.95" customHeight="1" x14ac:dyDescent="0.2">
      <c r="A22" s="118" t="s">
        <v>4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20"/>
    </row>
    <row r="23" spans="1:23" s="11" customFormat="1" ht="21.95" customHeight="1" x14ac:dyDescent="0.2">
      <c r="A23" s="26" t="s">
        <v>20</v>
      </c>
      <c r="B23" s="121" t="s">
        <v>5</v>
      </c>
      <c r="C23" s="99"/>
      <c r="D23" s="100"/>
      <c r="E23" s="48" t="s">
        <v>32</v>
      </c>
      <c r="F23" s="121" t="s">
        <v>6</v>
      </c>
      <c r="G23" s="100"/>
      <c r="H23" s="27" t="s">
        <v>7</v>
      </c>
      <c r="I23" s="122" t="s">
        <v>34</v>
      </c>
      <c r="J23" s="123"/>
      <c r="K23" s="27" t="s">
        <v>8</v>
      </c>
      <c r="L23" s="124" t="s">
        <v>9</v>
      </c>
      <c r="M23" s="125"/>
      <c r="N23" s="121" t="s">
        <v>10</v>
      </c>
      <c r="O23" s="126"/>
    </row>
    <row r="24" spans="1:23" s="11" customFormat="1" ht="21.95" customHeight="1" x14ac:dyDescent="0.2">
      <c r="A24" s="28">
        <v>1</v>
      </c>
      <c r="B24" s="101" t="s">
        <v>54</v>
      </c>
      <c r="C24" s="106"/>
      <c r="D24" s="102"/>
      <c r="E24" s="49" t="s">
        <v>38</v>
      </c>
      <c r="F24" s="107">
        <v>635300</v>
      </c>
      <c r="G24" s="108"/>
      <c r="H24" s="29">
        <v>85000</v>
      </c>
      <c r="I24" s="107">
        <f>+H24*F24</f>
        <v>54000500000</v>
      </c>
      <c r="J24" s="108"/>
      <c r="K24" s="29">
        <v>0</v>
      </c>
      <c r="L24" s="107"/>
      <c r="M24" s="108"/>
      <c r="N24" s="107">
        <f>I24-K24+L24</f>
        <v>54000500000</v>
      </c>
      <c r="O24" s="109"/>
    </row>
    <row r="25" spans="1:23" s="11" customFormat="1" ht="21.95" customHeight="1" x14ac:dyDescent="0.2">
      <c r="A25" s="30"/>
      <c r="B25" s="103" t="s">
        <v>11</v>
      </c>
      <c r="C25" s="104"/>
      <c r="D25" s="105"/>
      <c r="E25" s="47"/>
      <c r="F25" s="96">
        <f>SUM(F24:F24)</f>
        <v>635300</v>
      </c>
      <c r="G25" s="97"/>
      <c r="H25" s="31"/>
      <c r="I25" s="96">
        <f>SUM(I24:I24)</f>
        <v>54000500000</v>
      </c>
      <c r="J25" s="97"/>
      <c r="K25" s="32">
        <f>SUM(K24:K24)</f>
        <v>0</v>
      </c>
      <c r="L25" s="96">
        <f>SUM(L24:L24)</f>
        <v>0</v>
      </c>
      <c r="M25" s="97"/>
      <c r="N25" s="96">
        <f>SUM(N24:O24)</f>
        <v>54000500000</v>
      </c>
      <c r="O25" s="112"/>
    </row>
    <row r="26" spans="1:23" s="11" customFormat="1" ht="21.95" customHeight="1" x14ac:dyDescent="0.2">
      <c r="A26" s="98" t="s">
        <v>48</v>
      </c>
      <c r="B26" s="99"/>
      <c r="C26" s="99"/>
      <c r="D26" s="99"/>
      <c r="E26" s="99"/>
      <c r="F26" s="99"/>
      <c r="G26" s="99"/>
      <c r="H26" s="99"/>
      <c r="I26" s="99"/>
      <c r="J26" s="99"/>
      <c r="K26" s="100"/>
      <c r="L26" s="101" t="s">
        <v>30</v>
      </c>
      <c r="M26" s="102"/>
      <c r="N26" s="107">
        <v>0</v>
      </c>
      <c r="O26" s="109"/>
      <c r="W26" s="51"/>
    </row>
    <row r="27" spans="1:23" s="11" customFormat="1" ht="21.95" customHeight="1" x14ac:dyDescent="0.6">
      <c r="A27" s="110" t="s">
        <v>53</v>
      </c>
      <c r="B27" s="111"/>
      <c r="C27" s="111"/>
      <c r="D27" s="111"/>
      <c r="E27" s="111"/>
      <c r="F27" s="33" t="s">
        <v>42</v>
      </c>
      <c r="G27" s="34"/>
      <c r="H27" s="92" t="s">
        <v>52</v>
      </c>
      <c r="I27" s="92"/>
      <c r="J27" s="92"/>
      <c r="K27" s="93"/>
      <c r="L27" s="94" t="s">
        <v>31</v>
      </c>
      <c r="M27" s="95"/>
      <c r="N27" s="56">
        <v>0</v>
      </c>
      <c r="O27" s="57"/>
    </row>
    <row r="28" spans="1:23" ht="21.95" customHeight="1" x14ac:dyDescent="0.6">
      <c r="A28" s="91" t="s">
        <v>41</v>
      </c>
      <c r="B28" s="92"/>
      <c r="C28" s="92"/>
      <c r="D28" s="92"/>
      <c r="E28" s="92"/>
      <c r="F28" s="33" t="s">
        <v>43</v>
      </c>
      <c r="G28" s="34"/>
      <c r="H28" s="92"/>
      <c r="I28" s="92"/>
      <c r="J28" s="92"/>
      <c r="K28" s="93"/>
      <c r="L28" s="58" t="s">
        <v>8</v>
      </c>
      <c r="M28" s="59"/>
      <c r="N28" s="56">
        <v>500000</v>
      </c>
      <c r="O28" s="57"/>
    </row>
    <row r="29" spans="1:23" ht="21.75" customHeight="1" x14ac:dyDescent="0.55000000000000004">
      <c r="A29" s="62" t="s">
        <v>26</v>
      </c>
      <c r="B29" s="63"/>
      <c r="C29" s="78" t="s">
        <v>51</v>
      </c>
      <c r="D29" s="79"/>
      <c r="E29" s="79"/>
      <c r="F29" s="79"/>
      <c r="G29" s="79"/>
      <c r="H29" s="79"/>
      <c r="I29" s="79"/>
      <c r="J29" s="84" t="s">
        <v>47</v>
      </c>
      <c r="K29" s="85"/>
      <c r="L29" s="58" t="s">
        <v>29</v>
      </c>
      <c r="M29" s="59"/>
      <c r="N29" s="56">
        <f>L24</f>
        <v>0</v>
      </c>
      <c r="O29" s="57"/>
    </row>
    <row r="30" spans="1:23" ht="21.95" customHeight="1" x14ac:dyDescent="0.55000000000000004">
      <c r="A30" s="64"/>
      <c r="B30" s="65"/>
      <c r="C30" s="80"/>
      <c r="D30" s="81"/>
      <c r="E30" s="81"/>
      <c r="F30" s="81"/>
      <c r="G30" s="81"/>
      <c r="H30" s="81"/>
      <c r="I30" s="81"/>
      <c r="J30" s="86"/>
      <c r="K30" s="87"/>
      <c r="L30" s="66" t="s">
        <v>33</v>
      </c>
      <c r="M30" s="67"/>
      <c r="N30" s="68">
        <v>0</v>
      </c>
      <c r="O30" s="69"/>
    </row>
    <row r="31" spans="1:23" ht="21.95" customHeight="1" x14ac:dyDescent="0.55000000000000004">
      <c r="A31" s="64"/>
      <c r="B31" s="65"/>
      <c r="C31" s="80"/>
      <c r="D31" s="81"/>
      <c r="E31" s="81"/>
      <c r="F31" s="81"/>
      <c r="G31" s="81"/>
      <c r="H31" s="81"/>
      <c r="I31" s="81"/>
      <c r="J31" s="86"/>
      <c r="K31" s="87"/>
      <c r="L31" s="70"/>
      <c r="M31" s="71"/>
      <c r="N31" s="72"/>
      <c r="O31" s="73"/>
    </row>
    <row r="32" spans="1:23" ht="77.25" customHeight="1" x14ac:dyDescent="0.55000000000000004">
      <c r="A32" s="64"/>
      <c r="B32" s="65"/>
      <c r="C32" s="82"/>
      <c r="D32" s="83"/>
      <c r="E32" s="83"/>
      <c r="F32" s="83"/>
      <c r="G32" s="83"/>
      <c r="H32" s="83"/>
      <c r="I32" s="83"/>
      <c r="J32" s="88"/>
      <c r="K32" s="89"/>
      <c r="L32" s="74"/>
      <c r="M32" s="75"/>
      <c r="N32" s="76"/>
      <c r="O32" s="77"/>
    </row>
    <row r="33" spans="1:15" ht="21.95" customHeight="1" x14ac:dyDescent="0.6">
      <c r="A33" s="53" t="s">
        <v>25</v>
      </c>
      <c r="B33" s="53"/>
      <c r="C33" s="53"/>
      <c r="D33" s="53"/>
      <c r="E33" s="53"/>
      <c r="F33" s="53"/>
      <c r="G33" s="53"/>
      <c r="H33" s="90" t="s">
        <v>55</v>
      </c>
      <c r="I33" s="90"/>
      <c r="J33" s="90"/>
      <c r="K33" s="90"/>
      <c r="L33" s="60" t="s">
        <v>11</v>
      </c>
      <c r="M33" s="60"/>
      <c r="N33" s="61">
        <f>N25+N26+N27-N28</f>
        <v>54000000000</v>
      </c>
      <c r="O33" s="61"/>
    </row>
    <row r="34" spans="1:15" ht="10.5" customHeight="1" x14ac:dyDescent="0.55000000000000004">
      <c r="A34" s="37"/>
      <c r="F34" s="35"/>
      <c r="G34" s="35"/>
      <c r="H34" s="35"/>
      <c r="I34" s="35"/>
      <c r="J34" s="35"/>
      <c r="K34" s="35"/>
      <c r="L34" s="35"/>
      <c r="M34" s="35"/>
      <c r="N34" s="35"/>
      <c r="O34" s="38"/>
    </row>
    <row r="35" spans="1:15" ht="24" x14ac:dyDescent="0.55000000000000004">
      <c r="A35" s="39"/>
      <c r="B35" s="35"/>
      <c r="C35" s="35"/>
      <c r="D35" s="55" t="s">
        <v>14</v>
      </c>
      <c r="E35" s="55"/>
      <c r="F35" s="35"/>
      <c r="G35" s="35"/>
      <c r="H35" s="35"/>
      <c r="I35" s="35"/>
      <c r="J35" s="35"/>
      <c r="K35" s="35"/>
      <c r="L35" s="55" t="s">
        <v>12</v>
      </c>
      <c r="M35" s="55"/>
      <c r="N35" s="35"/>
      <c r="O35" s="40"/>
    </row>
    <row r="36" spans="1:15" ht="85.5" customHeight="1" thickBot="1" x14ac:dyDescent="0.6">
      <c r="A36" s="41"/>
      <c r="B36" s="42"/>
      <c r="C36" s="42"/>
      <c r="D36" s="54" t="s">
        <v>13</v>
      </c>
      <c r="E36" s="54"/>
      <c r="F36" s="42"/>
      <c r="G36" s="42"/>
      <c r="H36" s="42"/>
      <c r="I36" s="42"/>
      <c r="J36" s="42"/>
      <c r="K36" s="42"/>
      <c r="L36" s="54" t="s">
        <v>13</v>
      </c>
      <c r="M36" s="54"/>
      <c r="N36" s="42"/>
      <c r="O36" s="43"/>
    </row>
    <row r="37" spans="1:15" x14ac:dyDescent="0.55000000000000004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spans="1:15" x14ac:dyDescent="0.55000000000000004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spans="1:15" x14ac:dyDescent="0.55000000000000004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 spans="1:15" x14ac:dyDescent="0.55000000000000004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spans="1:15" x14ac:dyDescent="0.55000000000000004">
      <c r="L41" s="35"/>
      <c r="M41" s="35"/>
      <c r="N41" s="35"/>
      <c r="O41" s="35"/>
    </row>
    <row r="42" spans="1:15" x14ac:dyDescent="0.55000000000000004">
      <c r="L42" s="35"/>
      <c r="M42" s="35"/>
      <c r="N42" s="35"/>
      <c r="O42" s="2"/>
    </row>
    <row r="43" spans="1:15" x14ac:dyDescent="0.55000000000000004">
      <c r="O43" s="2"/>
    </row>
    <row r="44" spans="1:15" x14ac:dyDescent="0.55000000000000004">
      <c r="O44" s="2"/>
    </row>
    <row r="45" spans="1:15" x14ac:dyDescent="0.55000000000000004">
      <c r="O45" s="2"/>
    </row>
    <row r="46" spans="1:15" x14ac:dyDescent="0.55000000000000004">
      <c r="O46" s="2"/>
    </row>
    <row r="47" spans="1:15" x14ac:dyDescent="0.55000000000000004">
      <c r="O47" s="2"/>
    </row>
    <row r="48" spans="1:15" x14ac:dyDescent="0.55000000000000004">
      <c r="O48" s="2"/>
    </row>
    <row r="49" spans="15:15" x14ac:dyDescent="0.55000000000000004">
      <c r="O49" s="2"/>
    </row>
    <row r="50" spans="15:15" x14ac:dyDescent="0.55000000000000004">
      <c r="O50" s="2"/>
    </row>
    <row r="51" spans="15:15" x14ac:dyDescent="0.55000000000000004">
      <c r="O51" s="2"/>
    </row>
    <row r="52" spans="15:15" x14ac:dyDescent="0.55000000000000004">
      <c r="O52" s="2"/>
    </row>
    <row r="53" spans="15:15" x14ac:dyDescent="0.55000000000000004">
      <c r="O53" s="2"/>
    </row>
    <row r="54" spans="15:15" x14ac:dyDescent="0.55000000000000004">
      <c r="O54" s="2"/>
    </row>
    <row r="55" spans="15:15" x14ac:dyDescent="0.55000000000000004">
      <c r="O55" s="2"/>
    </row>
    <row r="56" spans="15:15" x14ac:dyDescent="0.55000000000000004">
      <c r="O56" s="2"/>
    </row>
  </sheetData>
  <mergeCells count="80">
    <mergeCell ref="M8:O8"/>
    <mergeCell ref="N2:O2"/>
    <mergeCell ref="N3:O3"/>
    <mergeCell ref="A5:O5"/>
    <mergeCell ref="A6:B6"/>
    <mergeCell ref="C6:F6"/>
    <mergeCell ref="G6:H6"/>
    <mergeCell ref="I6:J6"/>
    <mergeCell ref="K6:L6"/>
    <mergeCell ref="M6:O6"/>
    <mergeCell ref="A8:B8"/>
    <mergeCell ref="C8:F8"/>
    <mergeCell ref="G8:H8"/>
    <mergeCell ref="I8:J8"/>
    <mergeCell ref="K8:L8"/>
    <mergeCell ref="A10:B10"/>
    <mergeCell ref="C10:O10"/>
    <mergeCell ref="A12:B12"/>
    <mergeCell ref="C12:O12"/>
    <mergeCell ref="A14:O14"/>
    <mergeCell ref="M16:O16"/>
    <mergeCell ref="A18:B18"/>
    <mergeCell ref="C18:F18"/>
    <mergeCell ref="G18:H18"/>
    <mergeCell ref="I18:J18"/>
    <mergeCell ref="K18:L18"/>
    <mergeCell ref="M18:O18"/>
    <mergeCell ref="A16:B16"/>
    <mergeCell ref="C16:F16"/>
    <mergeCell ref="G16:H16"/>
    <mergeCell ref="I16:J16"/>
    <mergeCell ref="K16:L16"/>
    <mergeCell ref="A20:B20"/>
    <mergeCell ref="C20:O20"/>
    <mergeCell ref="A22:O22"/>
    <mergeCell ref="B23:D23"/>
    <mergeCell ref="F23:G23"/>
    <mergeCell ref="I23:J23"/>
    <mergeCell ref="L23:M23"/>
    <mergeCell ref="N23:O23"/>
    <mergeCell ref="N27:O27"/>
    <mergeCell ref="B24:D24"/>
    <mergeCell ref="F24:G24"/>
    <mergeCell ref="I24:J24"/>
    <mergeCell ref="L24:M24"/>
    <mergeCell ref="N24:O24"/>
    <mergeCell ref="A27:E27"/>
    <mergeCell ref="N25:O25"/>
    <mergeCell ref="N26:O26"/>
    <mergeCell ref="A28:E28"/>
    <mergeCell ref="H28:K28"/>
    <mergeCell ref="H27:K27"/>
    <mergeCell ref="L27:M27"/>
    <mergeCell ref="L25:M25"/>
    <mergeCell ref="A26:K26"/>
    <mergeCell ref="L26:M26"/>
    <mergeCell ref="B25:D25"/>
    <mergeCell ref="F25:G25"/>
    <mergeCell ref="I25:J25"/>
    <mergeCell ref="N28:O28"/>
    <mergeCell ref="L28:M28"/>
    <mergeCell ref="L33:M33"/>
    <mergeCell ref="N33:O33"/>
    <mergeCell ref="A29:B32"/>
    <mergeCell ref="L29:M29"/>
    <mergeCell ref="N29:O29"/>
    <mergeCell ref="L30:M30"/>
    <mergeCell ref="N30:O30"/>
    <mergeCell ref="L31:M31"/>
    <mergeCell ref="N31:O31"/>
    <mergeCell ref="L32:M32"/>
    <mergeCell ref="N32:O32"/>
    <mergeCell ref="C29:I32"/>
    <mergeCell ref="J29:K32"/>
    <mergeCell ref="H33:K33"/>
    <mergeCell ref="A33:G33"/>
    <mergeCell ref="L36:M36"/>
    <mergeCell ref="L35:M35"/>
    <mergeCell ref="D36:E36"/>
    <mergeCell ref="D35:E35"/>
  </mergeCells>
  <printOptions horizontalCentered="1" verticalCentered="1"/>
  <pageMargins left="0" right="0" top="0" bottom="0" header="0" footer="0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0E4B-B057-4D5B-95A9-70B8A11A0C37}">
  <sheetPr>
    <pageSetUpPr fitToPage="1"/>
  </sheetPr>
  <dimension ref="A1:W56"/>
  <sheetViews>
    <sheetView rightToLeft="1" tabSelected="1" topLeftCell="A4" zoomScaleNormal="100" workbookViewId="0">
      <selection activeCell="H29" sqref="H29:K32"/>
    </sheetView>
  </sheetViews>
  <sheetFormatPr defaultColWidth="9" defaultRowHeight="22.5" x14ac:dyDescent="0.55000000000000004"/>
  <cols>
    <col min="1" max="1" width="5.625" style="2" customWidth="1"/>
    <col min="2" max="2" width="7.25" style="2" customWidth="1"/>
    <col min="3" max="3" width="7" style="2" customWidth="1"/>
    <col min="4" max="4" width="12.125" style="2" customWidth="1"/>
    <col min="5" max="5" width="17.625" style="2" customWidth="1"/>
    <col min="6" max="6" width="5.75" style="2" customWidth="1"/>
    <col min="7" max="7" width="10.125" style="2" customWidth="1"/>
    <col min="8" max="8" width="15.875" style="2" customWidth="1"/>
    <col min="9" max="9" width="4.875" style="2" customWidth="1"/>
    <col min="10" max="10" width="15.25" style="2" customWidth="1"/>
    <col min="11" max="11" width="28.125" style="2" customWidth="1"/>
    <col min="12" max="12" width="5.375" style="2" customWidth="1"/>
    <col min="13" max="13" width="11.375" style="2" customWidth="1"/>
    <col min="14" max="14" width="7.875" style="2" customWidth="1"/>
    <col min="15" max="15" width="12.375" style="36" customWidth="1"/>
    <col min="16" max="16" width="8.25" style="2" customWidth="1"/>
    <col min="17" max="19" width="9" style="2"/>
    <col min="20" max="20" width="15.875" style="2" bestFit="1" customWidth="1"/>
    <col min="21" max="16384" width="9" style="2"/>
  </cols>
  <sheetData>
    <row r="1" spans="1:15" ht="9" customHeight="1" thickBot="1" x14ac:dyDescent="0.6">
      <c r="O1" s="2"/>
    </row>
    <row r="2" spans="1:15" ht="21" customHeight="1" x14ac:dyDescent="0.85">
      <c r="A2" s="3"/>
      <c r="B2" s="4"/>
      <c r="C2" s="4"/>
      <c r="D2" s="1"/>
      <c r="E2" s="1"/>
      <c r="F2" s="1"/>
      <c r="G2" s="1"/>
      <c r="H2" s="1"/>
      <c r="I2" s="1"/>
      <c r="J2" s="1"/>
      <c r="K2" s="1"/>
      <c r="L2" s="1"/>
      <c r="M2" s="5" t="s">
        <v>37</v>
      </c>
      <c r="N2" s="144" t="s">
        <v>67</v>
      </c>
      <c r="O2" s="145"/>
    </row>
    <row r="3" spans="1:15" ht="29.25" customHeight="1" x14ac:dyDescent="0.6">
      <c r="A3" s="6"/>
      <c r="B3" s="7"/>
      <c r="C3" s="7"/>
      <c r="D3" s="45" t="s">
        <v>23</v>
      </c>
      <c r="E3" s="45"/>
      <c r="F3" s="45"/>
      <c r="G3" s="45"/>
      <c r="H3" s="45"/>
      <c r="I3" s="45"/>
      <c r="J3" s="45"/>
      <c r="K3" s="45"/>
      <c r="L3" s="45"/>
      <c r="M3" s="46" t="s">
        <v>21</v>
      </c>
      <c r="N3" s="146" t="s">
        <v>68</v>
      </c>
      <c r="O3" s="147"/>
    </row>
    <row r="4" spans="1:15" ht="3.75" customHeight="1" x14ac:dyDescent="0.6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</row>
    <row r="5" spans="1:15" ht="21.95" customHeight="1" x14ac:dyDescent="0.55000000000000004">
      <c r="A5" s="118" t="s">
        <v>27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20"/>
    </row>
    <row r="6" spans="1:15" s="11" customFormat="1" ht="21.95" customHeight="1" x14ac:dyDescent="0.2">
      <c r="A6" s="135" t="s">
        <v>15</v>
      </c>
      <c r="B6" s="136"/>
      <c r="C6" s="121" t="s">
        <v>45</v>
      </c>
      <c r="D6" s="99"/>
      <c r="E6" s="99"/>
      <c r="F6" s="100"/>
      <c r="G6" s="148" t="s">
        <v>0</v>
      </c>
      <c r="H6" s="149"/>
      <c r="I6" s="121">
        <v>14011853663</v>
      </c>
      <c r="J6" s="100"/>
      <c r="K6" s="148" t="s">
        <v>1</v>
      </c>
      <c r="L6" s="149"/>
      <c r="M6" s="127">
        <f>I6</f>
        <v>14011853663</v>
      </c>
      <c r="N6" s="128"/>
      <c r="O6" s="129"/>
    </row>
    <row r="7" spans="1:15" s="11" customFormat="1" ht="2.25" customHeight="1" x14ac:dyDescent="0.2">
      <c r="A7" s="50"/>
      <c r="B7" s="12"/>
      <c r="C7" s="13"/>
      <c r="D7" s="13"/>
      <c r="E7" s="13"/>
      <c r="F7" s="13"/>
      <c r="G7" s="44"/>
      <c r="H7" s="44"/>
      <c r="I7" s="13"/>
      <c r="J7" s="13"/>
      <c r="K7" s="44"/>
      <c r="L7" s="44"/>
      <c r="M7" s="13"/>
      <c r="N7" s="13"/>
      <c r="O7" s="14"/>
    </row>
    <row r="8" spans="1:15" s="11" customFormat="1" ht="21.95" customHeight="1" x14ac:dyDescent="0.2">
      <c r="A8" s="130" t="s">
        <v>16</v>
      </c>
      <c r="B8" s="131"/>
      <c r="C8" s="103">
        <v>1434933886</v>
      </c>
      <c r="D8" s="104"/>
      <c r="E8" s="104"/>
      <c r="F8" s="105"/>
      <c r="G8" s="132" t="s">
        <v>2</v>
      </c>
      <c r="H8" s="133"/>
      <c r="I8" s="121" t="s">
        <v>46</v>
      </c>
      <c r="J8" s="100"/>
      <c r="K8" s="132" t="s">
        <v>3</v>
      </c>
      <c r="L8" s="133"/>
      <c r="M8" s="127" t="s">
        <v>56</v>
      </c>
      <c r="N8" s="128"/>
      <c r="O8" s="129"/>
    </row>
    <row r="9" spans="1:15" s="11" customFormat="1" ht="3.75" customHeight="1" x14ac:dyDescent="0.2">
      <c r="A9" s="50"/>
      <c r="B9" s="12"/>
      <c r="C9" s="11" t="s">
        <v>40</v>
      </c>
      <c r="O9" s="15"/>
    </row>
    <row r="10" spans="1:15" s="11" customFormat="1" ht="21.95" customHeight="1" x14ac:dyDescent="0.2">
      <c r="A10" s="130" t="s">
        <v>17</v>
      </c>
      <c r="B10" s="131"/>
      <c r="C10" s="141" t="s">
        <v>64</v>
      </c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3"/>
    </row>
    <row r="11" spans="1:15" s="11" customFormat="1" ht="2.25" customHeight="1" x14ac:dyDescent="0.2">
      <c r="A11" s="50"/>
      <c r="B11" s="12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1:15" s="11" customFormat="1" ht="21.95" customHeight="1" x14ac:dyDescent="0.2">
      <c r="A12" s="130" t="s">
        <v>18</v>
      </c>
      <c r="B12" s="131"/>
      <c r="C12" s="141" t="s">
        <v>63</v>
      </c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3"/>
    </row>
    <row r="13" spans="1:15" s="11" customFormat="1" ht="3" customHeight="1" x14ac:dyDescent="0.2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7"/>
    </row>
    <row r="14" spans="1:15" s="11" customFormat="1" ht="21.95" customHeight="1" x14ac:dyDescent="0.2">
      <c r="A14" s="118" t="s">
        <v>28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20"/>
    </row>
    <row r="15" spans="1:15" s="11" customFormat="1" ht="3.75" customHeight="1" x14ac:dyDescent="0.2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</row>
    <row r="16" spans="1:15" s="11" customFormat="1" ht="27.75" customHeight="1" x14ac:dyDescent="0.2">
      <c r="A16" s="135" t="s">
        <v>19</v>
      </c>
      <c r="B16" s="136"/>
      <c r="C16" s="152" t="s">
        <v>69</v>
      </c>
      <c r="D16" s="153"/>
      <c r="E16" s="153"/>
      <c r="F16" s="154"/>
      <c r="G16" s="132" t="s">
        <v>22</v>
      </c>
      <c r="H16" s="133"/>
      <c r="I16" s="140">
        <v>10103071949</v>
      </c>
      <c r="J16" s="100"/>
      <c r="K16" s="132" t="s">
        <v>35</v>
      </c>
      <c r="L16" s="133"/>
      <c r="M16" s="127">
        <v>267445</v>
      </c>
      <c r="N16" s="128"/>
      <c r="O16" s="129"/>
    </row>
    <row r="17" spans="1:23" s="11" customFormat="1" ht="3" customHeight="1" x14ac:dyDescent="0.2">
      <c r="A17" s="50"/>
      <c r="B17" s="12"/>
      <c r="G17" s="44"/>
      <c r="H17" s="44"/>
      <c r="K17" s="44"/>
      <c r="L17" s="44"/>
      <c r="O17" s="15"/>
    </row>
    <row r="18" spans="1:23" s="11" customFormat="1" ht="21.95" customHeight="1" x14ac:dyDescent="0.2">
      <c r="A18" s="130" t="s">
        <v>16</v>
      </c>
      <c r="B18" s="131"/>
      <c r="C18" s="140">
        <v>1939616888</v>
      </c>
      <c r="D18" s="99"/>
      <c r="E18" s="99"/>
      <c r="F18" s="100"/>
      <c r="G18" s="132" t="s">
        <v>36</v>
      </c>
      <c r="H18" s="133"/>
      <c r="I18" s="150" t="s">
        <v>70</v>
      </c>
      <c r="J18" s="151"/>
      <c r="K18" s="132" t="s">
        <v>39</v>
      </c>
      <c r="L18" s="133"/>
      <c r="M18" s="103" t="s">
        <v>58</v>
      </c>
      <c r="N18" s="104"/>
      <c r="O18" s="134"/>
    </row>
    <row r="19" spans="1:23" s="11" customFormat="1" ht="3" customHeight="1" x14ac:dyDescent="0.2">
      <c r="A19" s="50"/>
      <c r="B19" s="12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4"/>
    </row>
    <row r="20" spans="1:23" s="11" customFormat="1" ht="21.95" customHeight="1" x14ac:dyDescent="0.2">
      <c r="A20" s="113" t="s">
        <v>24</v>
      </c>
      <c r="B20" s="114"/>
      <c r="C20" s="115" t="s">
        <v>71</v>
      </c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7"/>
    </row>
    <row r="21" spans="1:23" s="11" customFormat="1" ht="3.75" customHeight="1" x14ac:dyDescent="0.2">
      <c r="A21" s="2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1:23" s="11" customFormat="1" ht="21.95" customHeight="1" x14ac:dyDescent="0.2">
      <c r="A22" s="118" t="s">
        <v>4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20"/>
    </row>
    <row r="23" spans="1:23" s="11" customFormat="1" ht="21.95" customHeight="1" x14ac:dyDescent="0.2">
      <c r="A23" s="26" t="s">
        <v>20</v>
      </c>
      <c r="B23" s="121" t="s">
        <v>5</v>
      </c>
      <c r="C23" s="99"/>
      <c r="D23" s="100"/>
      <c r="E23" s="48" t="s">
        <v>32</v>
      </c>
      <c r="F23" s="121" t="s">
        <v>6</v>
      </c>
      <c r="G23" s="100"/>
      <c r="H23" s="27" t="s">
        <v>60</v>
      </c>
      <c r="I23" s="122" t="s">
        <v>61</v>
      </c>
      <c r="J23" s="123"/>
      <c r="K23" s="27" t="s">
        <v>8</v>
      </c>
      <c r="L23" s="124" t="s">
        <v>9</v>
      </c>
      <c r="M23" s="125"/>
      <c r="N23" s="121" t="s">
        <v>10</v>
      </c>
      <c r="O23" s="126"/>
    </row>
    <row r="24" spans="1:23" s="11" customFormat="1" ht="45" customHeight="1" x14ac:dyDescent="0.2">
      <c r="A24" s="28">
        <v>1</v>
      </c>
      <c r="B24" s="155" t="s">
        <v>72</v>
      </c>
      <c r="C24" s="106"/>
      <c r="D24" s="102"/>
      <c r="E24" s="49" t="s">
        <v>38</v>
      </c>
      <c r="F24" s="107">
        <v>2695000</v>
      </c>
      <c r="G24" s="108"/>
      <c r="H24" s="29">
        <v>112500</v>
      </c>
      <c r="I24" s="107">
        <f>+H24*F24</f>
        <v>303187500000</v>
      </c>
      <c r="J24" s="108"/>
      <c r="K24" s="29">
        <v>0</v>
      </c>
      <c r="L24" s="107">
        <v>0</v>
      </c>
      <c r="M24" s="108"/>
      <c r="N24" s="107">
        <f>I24-K24+L24</f>
        <v>303187500000</v>
      </c>
      <c r="O24" s="109"/>
    </row>
    <row r="25" spans="1:23" s="11" customFormat="1" ht="21.95" customHeight="1" x14ac:dyDescent="0.2">
      <c r="A25" s="30"/>
      <c r="B25" s="103" t="s">
        <v>11</v>
      </c>
      <c r="C25" s="104"/>
      <c r="D25" s="105"/>
      <c r="E25" s="47"/>
      <c r="F25" s="96">
        <f>SUM(F24:F24)</f>
        <v>2695000</v>
      </c>
      <c r="G25" s="97"/>
      <c r="H25" s="31"/>
      <c r="I25" s="96">
        <f>SUM(I24:I24)</f>
        <v>303187500000</v>
      </c>
      <c r="J25" s="97"/>
      <c r="K25" s="32">
        <f>SUM(K24:K24)</f>
        <v>0</v>
      </c>
      <c r="L25" s="96">
        <f>SUM(L24:L24)</f>
        <v>0</v>
      </c>
      <c r="M25" s="97"/>
      <c r="N25" s="96">
        <f>SUM(N24:O24)</f>
        <v>303187500000</v>
      </c>
      <c r="O25" s="112"/>
    </row>
    <row r="26" spans="1:23" s="11" customFormat="1" ht="21.95" customHeight="1" x14ac:dyDescent="0.2">
      <c r="A26" s="98" t="s">
        <v>62</v>
      </c>
      <c r="B26" s="99"/>
      <c r="C26" s="99"/>
      <c r="D26" s="99"/>
      <c r="E26" s="99"/>
      <c r="F26" s="99"/>
      <c r="G26" s="99"/>
      <c r="H26" s="99"/>
      <c r="I26" s="99"/>
      <c r="J26" s="99"/>
      <c r="K26" s="100"/>
      <c r="L26" s="101" t="s">
        <v>30</v>
      </c>
      <c r="M26" s="102"/>
      <c r="N26" s="107">
        <v>0</v>
      </c>
      <c r="O26" s="109"/>
      <c r="W26" s="51"/>
    </row>
    <row r="27" spans="1:23" s="11" customFormat="1" ht="21.95" customHeight="1" x14ac:dyDescent="0.55000000000000004">
      <c r="A27" s="156" t="s">
        <v>65</v>
      </c>
      <c r="B27" s="157"/>
      <c r="C27" s="157"/>
      <c r="D27" s="157"/>
      <c r="E27" s="157"/>
      <c r="F27" s="52" t="s">
        <v>42</v>
      </c>
      <c r="G27" s="16"/>
      <c r="H27" s="158" t="s">
        <v>66</v>
      </c>
      <c r="I27" s="158"/>
      <c r="J27" s="158"/>
      <c r="K27" s="159"/>
      <c r="L27" s="94" t="s">
        <v>31</v>
      </c>
      <c r="M27" s="95"/>
      <c r="N27" s="56">
        <v>0</v>
      </c>
      <c r="O27" s="57"/>
    </row>
    <row r="28" spans="1:23" ht="21.95" customHeight="1" x14ac:dyDescent="0.55000000000000004">
      <c r="A28" s="160"/>
      <c r="B28" s="158"/>
      <c r="C28" s="158"/>
      <c r="D28" s="158"/>
      <c r="E28" s="158"/>
      <c r="F28" s="52"/>
      <c r="G28" s="16"/>
      <c r="H28" s="158"/>
      <c r="I28" s="158"/>
      <c r="J28" s="158"/>
      <c r="K28" s="159"/>
      <c r="L28" s="58" t="s">
        <v>8</v>
      </c>
      <c r="M28" s="59"/>
      <c r="N28" s="56">
        <v>0</v>
      </c>
      <c r="O28" s="57"/>
    </row>
    <row r="29" spans="1:23" ht="21.75" customHeight="1" x14ac:dyDescent="0.55000000000000004">
      <c r="A29" s="62" t="s">
        <v>26</v>
      </c>
      <c r="B29" s="63"/>
      <c r="C29" s="78" t="s">
        <v>74</v>
      </c>
      <c r="D29" s="79"/>
      <c r="E29" s="79"/>
      <c r="F29" s="79"/>
      <c r="G29" s="79"/>
      <c r="H29" s="79" t="s">
        <v>75</v>
      </c>
      <c r="I29" s="79"/>
      <c r="J29" s="79"/>
      <c r="K29" s="161"/>
      <c r="L29" s="58" t="s">
        <v>29</v>
      </c>
      <c r="M29" s="59"/>
      <c r="N29" s="56">
        <f>L24</f>
        <v>0</v>
      </c>
      <c r="O29" s="57"/>
    </row>
    <row r="30" spans="1:23" ht="21.95" customHeight="1" x14ac:dyDescent="0.55000000000000004">
      <c r="A30" s="64"/>
      <c r="B30" s="65"/>
      <c r="C30" s="80"/>
      <c r="D30" s="81"/>
      <c r="E30" s="81"/>
      <c r="F30" s="81"/>
      <c r="G30" s="81"/>
      <c r="H30" s="81"/>
      <c r="I30" s="81"/>
      <c r="J30" s="81"/>
      <c r="K30" s="162"/>
      <c r="L30" s="66" t="s">
        <v>33</v>
      </c>
      <c r="M30" s="67"/>
      <c r="N30" s="68">
        <v>0</v>
      </c>
      <c r="O30" s="69"/>
    </row>
    <row r="31" spans="1:23" ht="21.95" customHeight="1" x14ac:dyDescent="0.55000000000000004">
      <c r="A31" s="64"/>
      <c r="B31" s="65"/>
      <c r="C31" s="80"/>
      <c r="D31" s="81"/>
      <c r="E31" s="81"/>
      <c r="F31" s="81"/>
      <c r="G31" s="81"/>
      <c r="H31" s="81"/>
      <c r="I31" s="81"/>
      <c r="J31" s="81"/>
      <c r="K31" s="162"/>
      <c r="L31" s="70"/>
      <c r="M31" s="71"/>
      <c r="N31" s="72"/>
      <c r="O31" s="73"/>
    </row>
    <row r="32" spans="1:23" ht="77.25" customHeight="1" x14ac:dyDescent="0.55000000000000004">
      <c r="A32" s="64"/>
      <c r="B32" s="65"/>
      <c r="C32" s="82"/>
      <c r="D32" s="83"/>
      <c r="E32" s="83"/>
      <c r="F32" s="83"/>
      <c r="G32" s="83"/>
      <c r="H32" s="83"/>
      <c r="I32" s="83"/>
      <c r="J32" s="83"/>
      <c r="K32" s="163"/>
      <c r="L32" s="74"/>
      <c r="M32" s="75"/>
      <c r="N32" s="76"/>
      <c r="O32" s="77"/>
    </row>
    <row r="33" spans="1:15" ht="21.95" customHeight="1" x14ac:dyDescent="0.6">
      <c r="A33" s="164" t="s">
        <v>25</v>
      </c>
      <c r="B33" s="53"/>
      <c r="C33" s="53"/>
      <c r="D33" s="53"/>
      <c r="E33" s="53"/>
      <c r="F33" s="53"/>
      <c r="G33" s="53"/>
      <c r="H33" s="90" t="s">
        <v>73</v>
      </c>
      <c r="I33" s="90"/>
      <c r="J33" s="90"/>
      <c r="K33" s="90"/>
      <c r="L33" s="60" t="s">
        <v>11</v>
      </c>
      <c r="M33" s="60"/>
      <c r="N33" s="61">
        <f>N25+N26+N27-N28</f>
        <v>303187500000</v>
      </c>
      <c r="O33" s="165"/>
    </row>
    <row r="34" spans="1:15" ht="10.5" customHeight="1" x14ac:dyDescent="0.55000000000000004">
      <c r="A34" s="37"/>
      <c r="F34" s="35"/>
      <c r="G34" s="35"/>
      <c r="H34" s="35"/>
      <c r="I34" s="35"/>
      <c r="J34" s="35"/>
      <c r="K34" s="35"/>
      <c r="L34" s="35"/>
      <c r="M34" s="35"/>
      <c r="N34" s="35"/>
      <c r="O34" s="38"/>
    </row>
    <row r="35" spans="1:15" ht="24" x14ac:dyDescent="0.55000000000000004">
      <c r="A35" s="39"/>
      <c r="B35" s="35"/>
      <c r="C35" s="35"/>
      <c r="D35" s="55" t="s">
        <v>14</v>
      </c>
      <c r="E35" s="55"/>
      <c r="F35" s="35"/>
      <c r="G35" s="35"/>
      <c r="H35" s="35"/>
      <c r="I35" s="35"/>
      <c r="J35" s="35"/>
      <c r="K35" s="35"/>
      <c r="L35" s="55" t="s">
        <v>12</v>
      </c>
      <c r="M35" s="55"/>
      <c r="N35" s="35"/>
      <c r="O35" s="40"/>
    </row>
    <row r="36" spans="1:15" ht="85.5" customHeight="1" thickBot="1" x14ac:dyDescent="0.6">
      <c r="A36" s="41"/>
      <c r="B36" s="42"/>
      <c r="C36" s="42"/>
      <c r="D36" s="54" t="s">
        <v>13</v>
      </c>
      <c r="E36" s="54"/>
      <c r="F36" s="42"/>
      <c r="G36" s="42"/>
      <c r="H36" s="42"/>
      <c r="I36" s="42"/>
      <c r="J36" s="42"/>
      <c r="K36" s="42"/>
      <c r="L36" s="54" t="s">
        <v>13</v>
      </c>
      <c r="M36" s="54"/>
      <c r="N36" s="42"/>
      <c r="O36" s="43"/>
    </row>
    <row r="37" spans="1:15" x14ac:dyDescent="0.55000000000000004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</row>
    <row r="38" spans="1:15" x14ac:dyDescent="0.55000000000000004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</row>
    <row r="39" spans="1:15" x14ac:dyDescent="0.55000000000000004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</row>
    <row r="40" spans="1:15" x14ac:dyDescent="0.55000000000000004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</row>
    <row r="41" spans="1:15" x14ac:dyDescent="0.55000000000000004">
      <c r="L41" s="35"/>
      <c r="M41" s="35"/>
      <c r="N41" s="35"/>
      <c r="O41" s="35"/>
    </row>
    <row r="42" spans="1:15" x14ac:dyDescent="0.55000000000000004">
      <c r="L42" s="35"/>
      <c r="M42" s="35"/>
      <c r="N42" s="35"/>
      <c r="O42" s="2"/>
    </row>
    <row r="43" spans="1:15" x14ac:dyDescent="0.55000000000000004">
      <c r="O43" s="2"/>
    </row>
    <row r="44" spans="1:15" x14ac:dyDescent="0.55000000000000004">
      <c r="O44" s="2"/>
    </row>
    <row r="45" spans="1:15" x14ac:dyDescent="0.55000000000000004">
      <c r="O45" s="2"/>
    </row>
    <row r="46" spans="1:15" x14ac:dyDescent="0.55000000000000004">
      <c r="O46" s="2"/>
    </row>
    <row r="47" spans="1:15" x14ac:dyDescent="0.55000000000000004">
      <c r="O47" s="2"/>
    </row>
    <row r="48" spans="1:15" x14ac:dyDescent="0.55000000000000004">
      <c r="O48" s="2"/>
    </row>
    <row r="49" spans="15:15" x14ac:dyDescent="0.55000000000000004">
      <c r="O49" s="2"/>
    </row>
    <row r="50" spans="15:15" x14ac:dyDescent="0.55000000000000004">
      <c r="O50" s="2"/>
    </row>
    <row r="51" spans="15:15" x14ac:dyDescent="0.55000000000000004">
      <c r="O51" s="2"/>
    </row>
    <row r="52" spans="15:15" x14ac:dyDescent="0.55000000000000004">
      <c r="O52" s="2"/>
    </row>
    <row r="53" spans="15:15" x14ac:dyDescent="0.55000000000000004">
      <c r="O53" s="2"/>
    </row>
    <row r="54" spans="15:15" x14ac:dyDescent="0.55000000000000004">
      <c r="O54" s="2"/>
    </row>
    <row r="55" spans="15:15" x14ac:dyDescent="0.55000000000000004">
      <c r="O55" s="2"/>
    </row>
    <row r="56" spans="15:15" x14ac:dyDescent="0.55000000000000004">
      <c r="O56" s="2"/>
    </row>
  </sheetData>
  <mergeCells count="80">
    <mergeCell ref="D35:E35"/>
    <mergeCell ref="L35:M35"/>
    <mergeCell ref="D36:E36"/>
    <mergeCell ref="L36:M36"/>
    <mergeCell ref="N30:O30"/>
    <mergeCell ref="L31:M31"/>
    <mergeCell ref="N31:O31"/>
    <mergeCell ref="L32:M32"/>
    <mergeCell ref="N32:O32"/>
    <mergeCell ref="A33:G33"/>
    <mergeCell ref="H33:K33"/>
    <mergeCell ref="L33:M33"/>
    <mergeCell ref="N33:O33"/>
    <mergeCell ref="A28:E28"/>
    <mergeCell ref="H28:K28"/>
    <mergeCell ref="L28:M28"/>
    <mergeCell ref="N28:O28"/>
    <mergeCell ref="A29:B32"/>
    <mergeCell ref="L29:M29"/>
    <mergeCell ref="N29:O29"/>
    <mergeCell ref="L30:M30"/>
    <mergeCell ref="C29:G32"/>
    <mergeCell ref="H29:K32"/>
    <mergeCell ref="A26:K26"/>
    <mergeCell ref="L26:M26"/>
    <mergeCell ref="N26:O26"/>
    <mergeCell ref="A27:E27"/>
    <mergeCell ref="H27:K27"/>
    <mergeCell ref="L27:M27"/>
    <mergeCell ref="N27:O27"/>
    <mergeCell ref="B24:D24"/>
    <mergeCell ref="F24:G24"/>
    <mergeCell ref="I24:J24"/>
    <mergeCell ref="L24:M24"/>
    <mergeCell ref="N24:O24"/>
    <mergeCell ref="B25:D25"/>
    <mergeCell ref="F25:G25"/>
    <mergeCell ref="I25:J25"/>
    <mergeCell ref="L25:M25"/>
    <mergeCell ref="N25:O25"/>
    <mergeCell ref="A20:B20"/>
    <mergeCell ref="C20:O20"/>
    <mergeCell ref="A22:O22"/>
    <mergeCell ref="B23:D23"/>
    <mergeCell ref="F23:G23"/>
    <mergeCell ref="I23:J23"/>
    <mergeCell ref="L23:M23"/>
    <mergeCell ref="N23:O23"/>
    <mergeCell ref="M16:O16"/>
    <mergeCell ref="A18:B18"/>
    <mergeCell ref="C18:F18"/>
    <mergeCell ref="G18:H18"/>
    <mergeCell ref="I18:J18"/>
    <mergeCell ref="K18:L18"/>
    <mergeCell ref="M18:O18"/>
    <mergeCell ref="A16:B16"/>
    <mergeCell ref="C16:F16"/>
    <mergeCell ref="G16:H16"/>
    <mergeCell ref="I16:J16"/>
    <mergeCell ref="K16:L16"/>
    <mergeCell ref="A10:B10"/>
    <mergeCell ref="C10:O10"/>
    <mergeCell ref="A12:B12"/>
    <mergeCell ref="C12:O12"/>
    <mergeCell ref="A14:O14"/>
    <mergeCell ref="M8:O8"/>
    <mergeCell ref="N2:O2"/>
    <mergeCell ref="N3:O3"/>
    <mergeCell ref="A5:O5"/>
    <mergeCell ref="A6:B6"/>
    <mergeCell ref="C6:F6"/>
    <mergeCell ref="G6:H6"/>
    <mergeCell ref="I6:J6"/>
    <mergeCell ref="K6:L6"/>
    <mergeCell ref="M6:O6"/>
    <mergeCell ref="A8:B8"/>
    <mergeCell ref="C8:F8"/>
    <mergeCell ref="G8:H8"/>
    <mergeCell ref="I8:J8"/>
    <mergeCell ref="K8:L8"/>
  </mergeCells>
  <printOptions horizontalCentered="1" verticalCentered="1"/>
  <pageMargins left="0" right="0" top="0" bottom="0" header="0" footer="0"/>
  <pageSetup paperSize="9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فرم خام</vt:lpstr>
      <vt:lpstr>فرم خام (2)</vt:lpstr>
      <vt:lpstr>'فرم خام'!Print_Area</vt:lpstr>
      <vt:lpstr>'فرم خام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Hasti bishal</dc:creator>
  <cp:lastModifiedBy>Mahdi Soltani</cp:lastModifiedBy>
  <cp:lastPrinted>2025-07-29T07:24:35Z</cp:lastPrinted>
  <dcterms:created xsi:type="dcterms:W3CDTF">2020-01-04T11:43:49Z</dcterms:created>
  <dcterms:modified xsi:type="dcterms:W3CDTF">2025-07-29T07:24:53Z</dcterms:modified>
</cp:coreProperties>
</file>